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_Jira_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Jira</t>
        </is>
      </c>
      <c r="B1" s="1" t="inlineStr">
        <is>
          <t>Fecha reporte</t>
        </is>
      </c>
      <c r="C1" s="1" t="inlineStr">
        <is>
          <t>Proyecto</t>
        </is>
      </c>
      <c r="D1" s="1" t="inlineStr">
        <is>
          <t>Página / URL</t>
        </is>
      </c>
      <c r="E1" s="1" t="inlineStr">
        <is>
          <t>Descripción</t>
        </is>
      </c>
      <c r="F1" s="1" t="inlineStr">
        <is>
          <t>Tipo error</t>
        </is>
      </c>
      <c r="G1" s="1" t="inlineStr">
        <is>
          <t>Prioridad</t>
        </is>
      </c>
      <c r="H1" s="1" t="inlineStr">
        <is>
          <t>Responsable</t>
        </is>
      </c>
      <c r="I1" s="1" t="inlineStr">
        <is>
          <t>Estado</t>
        </is>
      </c>
      <c r="J1" s="1" t="inlineStr">
        <is>
          <t>Días abiertos</t>
        </is>
      </c>
      <c r="K1" s="1" t="inlineStr">
        <is>
          <t>Fecha estimada resolución</t>
        </is>
      </c>
      <c r="L1" s="1" t="inlineStr">
        <is>
          <t>Observaciones</t>
        </is>
      </c>
    </row>
    <row r="2">
      <c r="J2">
        <f>IF(B2="","",TODAY()-B2)</f>
        <v/>
      </c>
    </row>
    <row r="3">
      <c r="J3">
        <f>IF(B3="","",TODAY()-B3)</f>
        <v/>
      </c>
    </row>
    <row r="4">
      <c r="J4">
        <f>IF(B4="","",TODAY()-B4)</f>
        <v/>
      </c>
    </row>
    <row r="5">
      <c r="J5">
        <f>IF(B5="","",TODAY()-B5)</f>
        <v/>
      </c>
    </row>
    <row r="6">
      <c r="J6">
        <f>IF(B6="","",TODAY()-B6)</f>
        <v/>
      </c>
    </row>
    <row r="7">
      <c r="J7">
        <f>IF(B7="","",TODAY()-B7)</f>
        <v/>
      </c>
    </row>
    <row r="8">
      <c r="J8">
        <f>IF(B8="","",TODAY()-B8)</f>
        <v/>
      </c>
    </row>
    <row r="9">
      <c r="J9">
        <f>IF(B9="","",TODAY()-B9)</f>
        <v/>
      </c>
    </row>
    <row r="10">
      <c r="J10">
        <f>IF(B10="","",TODAY()-B10)</f>
        <v/>
      </c>
    </row>
    <row r="11">
      <c r="J11">
        <f>IF(B11="","",TODAY()-B11)</f>
        <v/>
      </c>
    </row>
    <row r="12">
      <c r="J12">
        <f>IF(B12="","",TODAY()-B12)</f>
        <v/>
      </c>
    </row>
    <row r="13">
      <c r="J13">
        <f>IF(B13="","",TODAY()-B13)</f>
        <v/>
      </c>
    </row>
    <row r="14">
      <c r="J14">
        <f>IF(B14="","",TODAY()-B14)</f>
        <v/>
      </c>
    </row>
    <row r="15">
      <c r="J15">
        <f>IF(B15="","",TODAY()-B15)</f>
        <v/>
      </c>
    </row>
    <row r="16">
      <c r="J16">
        <f>IF(B16="","",TODAY()-B16)</f>
        <v/>
      </c>
    </row>
    <row r="17">
      <c r="J17">
        <f>IF(B17="","",TODAY()-B17)</f>
        <v/>
      </c>
    </row>
    <row r="18">
      <c r="J18">
        <f>IF(B18="","",TODAY()-B18)</f>
        <v/>
      </c>
    </row>
    <row r="19">
      <c r="J19">
        <f>IF(B19="","",TODAY()-B19)</f>
        <v/>
      </c>
    </row>
    <row r="20">
      <c r="J20">
        <f>IF(B20="","",TODAY()-B20)</f>
        <v/>
      </c>
    </row>
    <row r="21">
      <c r="J21">
        <f>IF(B21="","",TODAY()-B21)</f>
        <v/>
      </c>
    </row>
    <row r="22">
      <c r="J22">
        <f>IF(B22="","",TODAY()-B22)</f>
        <v/>
      </c>
    </row>
    <row r="23">
      <c r="J23">
        <f>IF(B23="","",TODAY()-B23)</f>
        <v/>
      </c>
    </row>
    <row r="24">
      <c r="J24">
        <f>IF(B24="","",TODAY()-B24)</f>
        <v/>
      </c>
    </row>
    <row r="25">
      <c r="J25">
        <f>IF(B25="","",TODAY()-B25)</f>
        <v/>
      </c>
    </row>
    <row r="26">
      <c r="J26">
        <f>IF(B26="","",TODAY()-B26)</f>
        <v/>
      </c>
    </row>
    <row r="27">
      <c r="J27">
        <f>IF(B27="","",TODAY()-B27)</f>
        <v/>
      </c>
    </row>
    <row r="28">
      <c r="J28">
        <f>IF(B28="","",TODAY()-B28)</f>
        <v/>
      </c>
    </row>
    <row r="29">
      <c r="J29">
        <f>IF(B29="","",TODAY()-B29)</f>
        <v/>
      </c>
    </row>
    <row r="30">
      <c r="J30">
        <f>IF(B30="","",TODAY()-B30)</f>
        <v/>
      </c>
    </row>
    <row r="31">
      <c r="J31">
        <f>IF(B31="","",TODAY()-B31)</f>
        <v/>
      </c>
    </row>
    <row r="32">
      <c r="J32">
        <f>IF(B32="","",TODAY()-B32)</f>
        <v/>
      </c>
    </row>
    <row r="33">
      <c r="J33">
        <f>IF(B33="","",TODAY()-B33)</f>
        <v/>
      </c>
    </row>
    <row r="34">
      <c r="J34">
        <f>IF(B34="","",TODAY()-B34)</f>
        <v/>
      </c>
    </row>
    <row r="35">
      <c r="J35">
        <f>IF(B35="","",TODAY()-B35)</f>
        <v/>
      </c>
    </row>
    <row r="36">
      <c r="J36">
        <f>IF(B36="","",TODAY()-B36)</f>
        <v/>
      </c>
    </row>
    <row r="37">
      <c r="J37">
        <f>IF(B37="","",TODAY()-B37)</f>
        <v/>
      </c>
    </row>
    <row r="38">
      <c r="J38">
        <f>IF(B38="","",TODAY()-B38)</f>
        <v/>
      </c>
    </row>
    <row r="39">
      <c r="J39">
        <f>IF(B39="","",TODAY()-B39)</f>
        <v/>
      </c>
    </row>
    <row r="40">
      <c r="J40">
        <f>IF(B40="","",TODAY()-B40)</f>
        <v/>
      </c>
    </row>
    <row r="41">
      <c r="J41">
        <f>IF(B41="","",TODAY()-B41)</f>
        <v/>
      </c>
    </row>
    <row r="42">
      <c r="J42">
        <f>IF(B42="","",TODAY()-B42)</f>
        <v/>
      </c>
    </row>
    <row r="43">
      <c r="J43">
        <f>IF(B43="","",TODAY()-B43)</f>
        <v/>
      </c>
    </row>
    <row r="44">
      <c r="J44">
        <f>IF(B44="","",TODAY()-B44)</f>
        <v/>
      </c>
    </row>
    <row r="45">
      <c r="J45">
        <f>IF(B45="","",TODAY()-B45)</f>
        <v/>
      </c>
    </row>
    <row r="46">
      <c r="J46">
        <f>IF(B46="","",TODAY()-B46)</f>
        <v/>
      </c>
    </row>
    <row r="47">
      <c r="J47">
        <f>IF(B47="","",TODAY()-B47)</f>
        <v/>
      </c>
    </row>
    <row r="48">
      <c r="J48">
        <f>IF(B48="","",TODAY()-B48)</f>
        <v/>
      </c>
    </row>
    <row r="49">
      <c r="J49">
        <f>IF(B49="","",TODAY()-B49)</f>
        <v/>
      </c>
    </row>
    <row r="50">
      <c r="J50">
        <f>IF(B50="","",TODAY()-B50)</f>
        <v/>
      </c>
    </row>
    <row r="51">
      <c r="J51">
        <f>IF(B51="","",TODAY()-B51)</f>
        <v/>
      </c>
    </row>
    <row r="52">
      <c r="J52">
        <f>IF(B52="","",TODAY()-B52)</f>
        <v/>
      </c>
    </row>
    <row r="53">
      <c r="J53">
        <f>IF(B53="","",TODAY()-B53)</f>
        <v/>
      </c>
    </row>
    <row r="54">
      <c r="J54">
        <f>IF(B54="","",TODAY()-B54)</f>
        <v/>
      </c>
    </row>
    <row r="55">
      <c r="J55">
        <f>IF(B55="","",TODAY()-B55)</f>
        <v/>
      </c>
    </row>
    <row r="56">
      <c r="J56">
        <f>IF(B56="","",TODAY()-B56)</f>
        <v/>
      </c>
    </row>
    <row r="57">
      <c r="J57">
        <f>IF(B57="","",TODAY()-B57)</f>
        <v/>
      </c>
    </row>
    <row r="58">
      <c r="J58">
        <f>IF(B58="","",TODAY()-B58)</f>
        <v/>
      </c>
    </row>
    <row r="59">
      <c r="J59">
        <f>IF(B59="","",TODAY()-B59)</f>
        <v/>
      </c>
    </row>
    <row r="60">
      <c r="J60">
        <f>IF(B60="","",TODAY()-B60)</f>
        <v/>
      </c>
    </row>
    <row r="61">
      <c r="J61">
        <f>IF(B61="","",TODAY()-B61)</f>
        <v/>
      </c>
    </row>
    <row r="62">
      <c r="J62">
        <f>IF(B62="","",TODAY()-B62)</f>
        <v/>
      </c>
    </row>
    <row r="63">
      <c r="J63">
        <f>IF(B63="","",TODAY()-B63)</f>
        <v/>
      </c>
    </row>
    <row r="64">
      <c r="J64">
        <f>IF(B64="","",TODAY()-B64)</f>
        <v/>
      </c>
    </row>
    <row r="65">
      <c r="J65">
        <f>IF(B65="","",TODAY()-B65)</f>
        <v/>
      </c>
    </row>
    <row r="66">
      <c r="J66">
        <f>IF(B66="","",TODAY()-B66)</f>
        <v/>
      </c>
    </row>
    <row r="67">
      <c r="J67">
        <f>IF(B67="","",TODAY()-B67)</f>
        <v/>
      </c>
    </row>
    <row r="68">
      <c r="J68">
        <f>IF(B68="","",TODAY()-B68)</f>
        <v/>
      </c>
    </row>
    <row r="69">
      <c r="J69">
        <f>IF(B69="","",TODAY()-B69)</f>
        <v/>
      </c>
    </row>
    <row r="70">
      <c r="J70">
        <f>IF(B70="","",TODAY()-B70)</f>
        <v/>
      </c>
    </row>
    <row r="71">
      <c r="J71">
        <f>IF(B71="","",TODAY()-B71)</f>
        <v/>
      </c>
    </row>
    <row r="72">
      <c r="J72">
        <f>IF(B72="","",TODAY()-B72)</f>
        <v/>
      </c>
    </row>
    <row r="73">
      <c r="J73">
        <f>IF(B73="","",TODAY()-B73)</f>
        <v/>
      </c>
    </row>
    <row r="74">
      <c r="J74">
        <f>IF(B74="","",TODAY()-B74)</f>
        <v/>
      </c>
    </row>
    <row r="75">
      <c r="J75">
        <f>IF(B75="","",TODAY()-B75)</f>
        <v/>
      </c>
    </row>
    <row r="76">
      <c r="J76">
        <f>IF(B76="","",TODAY()-B76)</f>
        <v/>
      </c>
    </row>
    <row r="77">
      <c r="J77">
        <f>IF(B77="","",TODAY()-B77)</f>
        <v/>
      </c>
    </row>
    <row r="78">
      <c r="J78">
        <f>IF(B78="","",TODAY()-B78)</f>
        <v/>
      </c>
    </row>
    <row r="79">
      <c r="J79">
        <f>IF(B79="","",TODAY()-B79)</f>
        <v/>
      </c>
    </row>
    <row r="80">
      <c r="J80">
        <f>IF(B80="","",TODAY()-B80)</f>
        <v/>
      </c>
    </row>
    <row r="81">
      <c r="J81">
        <f>IF(B81="","",TODAY()-B81)</f>
        <v/>
      </c>
    </row>
    <row r="82">
      <c r="J82">
        <f>IF(B82="","",TODAY()-B82)</f>
        <v/>
      </c>
    </row>
    <row r="83">
      <c r="J83">
        <f>IF(B83="","",TODAY()-B83)</f>
        <v/>
      </c>
    </row>
    <row r="84">
      <c r="J84">
        <f>IF(B84="","",TODAY()-B84)</f>
        <v/>
      </c>
    </row>
    <row r="85">
      <c r="J85">
        <f>IF(B85="","",TODAY()-B85)</f>
        <v/>
      </c>
    </row>
    <row r="86">
      <c r="J86">
        <f>IF(B86="","",TODAY()-B86)</f>
        <v/>
      </c>
    </row>
    <row r="87">
      <c r="J87">
        <f>IF(B87="","",TODAY()-B87)</f>
        <v/>
      </c>
    </row>
    <row r="88">
      <c r="J88">
        <f>IF(B88="","",TODAY()-B88)</f>
        <v/>
      </c>
    </row>
    <row r="89">
      <c r="J89">
        <f>IF(B89="","",TODAY()-B89)</f>
        <v/>
      </c>
    </row>
    <row r="90">
      <c r="J90">
        <f>IF(B90="","",TODAY()-B90)</f>
        <v/>
      </c>
    </row>
    <row r="91">
      <c r="J91">
        <f>IF(B91="","",TODAY()-B91)</f>
        <v/>
      </c>
    </row>
    <row r="92">
      <c r="J92">
        <f>IF(B92="","",TODAY()-B92)</f>
        <v/>
      </c>
    </row>
    <row r="93">
      <c r="J93">
        <f>IF(B93="","",TODAY()-B93)</f>
        <v/>
      </c>
    </row>
    <row r="94">
      <c r="J94">
        <f>IF(B94="","",TODAY()-B94)</f>
        <v/>
      </c>
    </row>
    <row r="95">
      <c r="J95">
        <f>IF(B95="","",TODAY()-B95)</f>
        <v/>
      </c>
    </row>
    <row r="96">
      <c r="J96">
        <f>IF(B96="","",TODAY()-B96)</f>
        <v/>
      </c>
    </row>
    <row r="97">
      <c r="J97">
        <f>IF(B97="","",TODAY()-B97)</f>
        <v/>
      </c>
    </row>
    <row r="98">
      <c r="J98">
        <f>IF(B98="","",TODAY()-B98)</f>
        <v/>
      </c>
    </row>
    <row r="99">
      <c r="J99">
        <f>IF(B99="","",TODAY()-B99)</f>
        <v/>
      </c>
    </row>
    <row r="100">
      <c r="J100">
        <f>IF(B100="","",TODAY()-B100)</f>
        <v/>
      </c>
    </row>
    <row r="101">
      <c r="J101">
        <f>IF(B101="","",TODAY()-B101)</f>
        <v/>
      </c>
    </row>
    <row r="102">
      <c r="J102">
        <f>IF(B102="","",TODAY()-B102)</f>
        <v/>
      </c>
    </row>
    <row r="103">
      <c r="J103">
        <f>IF(B103="","",TODAY()-B103)</f>
        <v/>
      </c>
    </row>
    <row r="104">
      <c r="J104">
        <f>IF(B104="","",TODAY()-B104)</f>
        <v/>
      </c>
    </row>
    <row r="105">
      <c r="J105">
        <f>IF(B105="","",TODAY()-B105)</f>
        <v/>
      </c>
    </row>
    <row r="106">
      <c r="J106">
        <f>IF(B106="","",TODAY()-B106)</f>
        <v/>
      </c>
    </row>
    <row r="107">
      <c r="J107">
        <f>IF(B107="","",TODAY()-B107)</f>
        <v/>
      </c>
    </row>
    <row r="108">
      <c r="J108">
        <f>IF(B108="","",TODAY()-B108)</f>
        <v/>
      </c>
    </row>
    <row r="109">
      <c r="J109">
        <f>IF(B109="","",TODAY()-B109)</f>
        <v/>
      </c>
    </row>
    <row r="110">
      <c r="J110">
        <f>IF(B110="","",TODAY()-B110)</f>
        <v/>
      </c>
    </row>
    <row r="111">
      <c r="J111">
        <f>IF(B111="","",TODAY()-B111)</f>
        <v/>
      </c>
    </row>
    <row r="112">
      <c r="J112">
        <f>IF(B112="","",TODAY()-B112)</f>
        <v/>
      </c>
    </row>
    <row r="113">
      <c r="J113">
        <f>IF(B113="","",TODAY()-B113)</f>
        <v/>
      </c>
    </row>
    <row r="114">
      <c r="J114">
        <f>IF(B114="","",TODAY()-B114)</f>
        <v/>
      </c>
    </row>
    <row r="115">
      <c r="J115">
        <f>IF(B115="","",TODAY()-B115)</f>
        <v/>
      </c>
    </row>
    <row r="116">
      <c r="J116">
        <f>IF(B116="","",TODAY()-B116)</f>
        <v/>
      </c>
    </row>
    <row r="117">
      <c r="J117">
        <f>IF(B117="","",TODAY()-B117)</f>
        <v/>
      </c>
    </row>
    <row r="118">
      <c r="J118">
        <f>IF(B118="","",TODAY()-B118)</f>
        <v/>
      </c>
    </row>
    <row r="119">
      <c r="J119">
        <f>IF(B119="","",TODAY()-B119)</f>
        <v/>
      </c>
    </row>
    <row r="120">
      <c r="J120">
        <f>IF(B120="","",TODAY()-B120)</f>
        <v/>
      </c>
    </row>
    <row r="121">
      <c r="J121">
        <f>IF(B121="","",TODAY()-B121)</f>
        <v/>
      </c>
    </row>
    <row r="122">
      <c r="J122">
        <f>IF(B122="","",TODAY()-B122)</f>
        <v/>
      </c>
    </row>
    <row r="123">
      <c r="J123">
        <f>IF(B123="","",TODAY()-B123)</f>
        <v/>
      </c>
    </row>
    <row r="124">
      <c r="J124">
        <f>IF(B124="","",TODAY()-B124)</f>
        <v/>
      </c>
    </row>
    <row r="125">
      <c r="J125">
        <f>IF(B125="","",TODAY()-B125)</f>
        <v/>
      </c>
    </row>
    <row r="126">
      <c r="J126">
        <f>IF(B126="","",TODAY()-B126)</f>
        <v/>
      </c>
    </row>
    <row r="127">
      <c r="J127">
        <f>IF(B127="","",TODAY()-B127)</f>
        <v/>
      </c>
    </row>
    <row r="128">
      <c r="J128">
        <f>IF(B128="","",TODAY()-B128)</f>
        <v/>
      </c>
    </row>
    <row r="129">
      <c r="J129">
        <f>IF(B129="","",TODAY()-B129)</f>
        <v/>
      </c>
    </row>
    <row r="130">
      <c r="J130">
        <f>IF(B130="","",TODAY()-B130)</f>
        <v/>
      </c>
    </row>
    <row r="131">
      <c r="J131">
        <f>IF(B131="","",TODAY()-B131)</f>
        <v/>
      </c>
    </row>
    <row r="132">
      <c r="J132">
        <f>IF(B132="","",TODAY()-B132)</f>
        <v/>
      </c>
    </row>
    <row r="133">
      <c r="J133">
        <f>IF(B133="","",TODAY()-B133)</f>
        <v/>
      </c>
    </row>
    <row r="134">
      <c r="J134">
        <f>IF(B134="","",TODAY()-B134)</f>
        <v/>
      </c>
    </row>
    <row r="135">
      <c r="J135">
        <f>IF(B135="","",TODAY()-B135)</f>
        <v/>
      </c>
    </row>
    <row r="136">
      <c r="J136">
        <f>IF(B136="","",TODAY()-B136)</f>
        <v/>
      </c>
    </row>
    <row r="137">
      <c r="J137">
        <f>IF(B137="","",TODAY()-B137)</f>
        <v/>
      </c>
    </row>
    <row r="138">
      <c r="J138">
        <f>IF(B138="","",TODAY()-B138)</f>
        <v/>
      </c>
    </row>
    <row r="139">
      <c r="J139">
        <f>IF(B139="","",TODAY()-B139)</f>
        <v/>
      </c>
    </row>
    <row r="140">
      <c r="J140">
        <f>IF(B140="","",TODAY()-B140)</f>
        <v/>
      </c>
    </row>
    <row r="141">
      <c r="J141">
        <f>IF(B141="","",TODAY()-B141)</f>
        <v/>
      </c>
    </row>
    <row r="142">
      <c r="J142">
        <f>IF(B142="","",TODAY()-B142)</f>
        <v/>
      </c>
    </row>
    <row r="143">
      <c r="J143">
        <f>IF(B143="","",TODAY()-B143)</f>
        <v/>
      </c>
    </row>
    <row r="144">
      <c r="J144">
        <f>IF(B144="","",TODAY()-B144)</f>
        <v/>
      </c>
    </row>
    <row r="145">
      <c r="J145">
        <f>IF(B145="","",TODAY()-B145)</f>
        <v/>
      </c>
    </row>
    <row r="146">
      <c r="J146">
        <f>IF(B146="","",TODAY()-B146)</f>
        <v/>
      </c>
    </row>
    <row r="147">
      <c r="J147">
        <f>IF(B147="","",TODAY()-B147)</f>
        <v/>
      </c>
    </row>
    <row r="148">
      <c r="J148">
        <f>IF(B148="","",TODAY()-B148)</f>
        <v/>
      </c>
    </row>
    <row r="149">
      <c r="J149">
        <f>IF(B149="","",TODAY()-B149)</f>
        <v/>
      </c>
    </row>
    <row r="150">
      <c r="J150">
        <f>IF(B150="","",TODAY()-B150)</f>
        <v/>
      </c>
    </row>
    <row r="151">
      <c r="J151">
        <f>IF(B151="","",TODAY()-B151)</f>
        <v/>
      </c>
    </row>
    <row r="152">
      <c r="J152">
        <f>IF(B152="","",TODAY()-B152)</f>
        <v/>
      </c>
    </row>
    <row r="153">
      <c r="J153">
        <f>IF(B153="","",TODAY()-B153)</f>
        <v/>
      </c>
    </row>
    <row r="154">
      <c r="J154">
        <f>IF(B154="","",TODAY()-B154)</f>
        <v/>
      </c>
    </row>
    <row r="155">
      <c r="J155">
        <f>IF(B155="","",TODAY()-B155)</f>
        <v/>
      </c>
    </row>
    <row r="156">
      <c r="J156">
        <f>IF(B156="","",TODAY()-B156)</f>
        <v/>
      </c>
    </row>
    <row r="157">
      <c r="J157">
        <f>IF(B157="","",TODAY()-B157)</f>
        <v/>
      </c>
    </row>
    <row r="158">
      <c r="J158">
        <f>IF(B158="","",TODAY()-B158)</f>
        <v/>
      </c>
    </row>
    <row r="159">
      <c r="J159">
        <f>IF(B159="","",TODAY()-B159)</f>
        <v/>
      </c>
    </row>
    <row r="160">
      <c r="J160">
        <f>IF(B160="","",TODAY()-B160)</f>
        <v/>
      </c>
    </row>
    <row r="161">
      <c r="J161">
        <f>IF(B161="","",TODAY()-B161)</f>
        <v/>
      </c>
    </row>
    <row r="162">
      <c r="J162">
        <f>IF(B162="","",TODAY()-B162)</f>
        <v/>
      </c>
    </row>
    <row r="163">
      <c r="J163">
        <f>IF(B163="","",TODAY()-B163)</f>
        <v/>
      </c>
    </row>
    <row r="164">
      <c r="J164">
        <f>IF(B164="","",TODAY()-B164)</f>
        <v/>
      </c>
    </row>
    <row r="165">
      <c r="J165">
        <f>IF(B165="","",TODAY()-B165)</f>
        <v/>
      </c>
    </row>
    <row r="166">
      <c r="J166">
        <f>IF(B166="","",TODAY()-B166)</f>
        <v/>
      </c>
    </row>
    <row r="167">
      <c r="J167">
        <f>IF(B167="","",TODAY()-B167)</f>
        <v/>
      </c>
    </row>
    <row r="168">
      <c r="J168">
        <f>IF(B168="","",TODAY()-B168)</f>
        <v/>
      </c>
    </row>
    <row r="169">
      <c r="J169">
        <f>IF(B169="","",TODAY()-B169)</f>
        <v/>
      </c>
    </row>
    <row r="170">
      <c r="J170">
        <f>IF(B170="","",TODAY()-B170)</f>
        <v/>
      </c>
    </row>
    <row r="171">
      <c r="J171">
        <f>IF(B171="","",TODAY()-B171)</f>
        <v/>
      </c>
    </row>
    <row r="172">
      <c r="J172">
        <f>IF(B172="","",TODAY()-B172)</f>
        <v/>
      </c>
    </row>
    <row r="173">
      <c r="J173">
        <f>IF(B173="","",TODAY()-B173)</f>
        <v/>
      </c>
    </row>
    <row r="174">
      <c r="J174">
        <f>IF(B174="","",TODAY()-B174)</f>
        <v/>
      </c>
    </row>
    <row r="175">
      <c r="J175">
        <f>IF(B175="","",TODAY()-B175)</f>
        <v/>
      </c>
    </row>
    <row r="176">
      <c r="J176">
        <f>IF(B176="","",TODAY()-B176)</f>
        <v/>
      </c>
    </row>
    <row r="177">
      <c r="J177">
        <f>IF(B177="","",TODAY()-B177)</f>
        <v/>
      </c>
    </row>
    <row r="178">
      <c r="J178">
        <f>IF(B178="","",TODAY()-B178)</f>
        <v/>
      </c>
    </row>
    <row r="179">
      <c r="J179">
        <f>IF(B179="","",TODAY()-B179)</f>
        <v/>
      </c>
    </row>
    <row r="180">
      <c r="J180">
        <f>IF(B180="","",TODAY()-B180)</f>
        <v/>
      </c>
    </row>
    <row r="181">
      <c r="J181">
        <f>IF(B181="","",TODAY()-B181)</f>
        <v/>
      </c>
    </row>
    <row r="182">
      <c r="J182">
        <f>IF(B182="","",TODAY()-B182)</f>
        <v/>
      </c>
    </row>
    <row r="183">
      <c r="J183">
        <f>IF(B183="","",TODAY()-B183)</f>
        <v/>
      </c>
    </row>
    <row r="184">
      <c r="J184">
        <f>IF(B184="","",TODAY()-B184)</f>
        <v/>
      </c>
    </row>
    <row r="185">
      <c r="J185">
        <f>IF(B185="","",TODAY()-B185)</f>
        <v/>
      </c>
    </row>
    <row r="186">
      <c r="J186">
        <f>IF(B186="","",TODAY()-B186)</f>
        <v/>
      </c>
    </row>
    <row r="187">
      <c r="J187">
        <f>IF(B187="","",TODAY()-B187)</f>
        <v/>
      </c>
    </row>
    <row r="188">
      <c r="J188">
        <f>IF(B188="","",TODAY()-B188)</f>
        <v/>
      </c>
    </row>
    <row r="189">
      <c r="J189">
        <f>IF(B189="","",TODAY()-B189)</f>
        <v/>
      </c>
    </row>
    <row r="190">
      <c r="J190">
        <f>IF(B190="","",TODAY()-B190)</f>
        <v/>
      </c>
    </row>
    <row r="191">
      <c r="J191">
        <f>IF(B191="","",TODAY()-B191)</f>
        <v/>
      </c>
    </row>
    <row r="192">
      <c r="J192">
        <f>IF(B192="","",TODAY()-B192)</f>
        <v/>
      </c>
    </row>
    <row r="193">
      <c r="J193">
        <f>IF(B193="","",TODAY()-B193)</f>
        <v/>
      </c>
    </row>
    <row r="194">
      <c r="J194">
        <f>IF(B194="","",TODAY()-B194)</f>
        <v/>
      </c>
    </row>
    <row r="195">
      <c r="J195">
        <f>IF(B195="","",TODAY()-B195)</f>
        <v/>
      </c>
    </row>
    <row r="196">
      <c r="J196">
        <f>IF(B196="","",TODAY()-B196)</f>
        <v/>
      </c>
    </row>
    <row r="197">
      <c r="J197">
        <f>IF(B197="","",TODAY()-B197)</f>
        <v/>
      </c>
    </row>
    <row r="198">
      <c r="J198">
        <f>IF(B198="","",TODAY()-B198)</f>
        <v/>
      </c>
    </row>
    <row r="199">
      <c r="J199">
        <f>IF(B199="","",TODAY()-B199)</f>
        <v/>
      </c>
    </row>
  </sheetData>
  <conditionalFormatting sqref="J2:J200">
    <cfRule type="cellIs" priority="1" operator="greaterThan" dxfId="0">
      <formula>7</formula>
    </cfRule>
    <cfRule type="cellIs" priority="2" operator="between" dxfId="1">
      <formula>3</formula>
      <formula>7</formula>
    </cfRule>
  </conditionalFormatting>
  <dataValidations count="3">
    <dataValidation sqref="I2:I200" showDropDown="0" showInputMessage="0" showErrorMessage="0" allowBlank="0" type="list">
      <formula1>"Pendiente,En proceso,En revisión,Resuelto"</formula1>
    </dataValidation>
    <dataValidation sqref="G2:G200" showDropDown="0" showInputMessage="0" showErrorMessage="0" allowBlank="0" type="list">
      <formula1>"Alta,Media,Baja"</formula1>
    </dataValidation>
    <dataValidation sqref="F2:F200" showDropDown="0" showInputMessage="0" showErrorMessage="0" allowBlank="0" type="list">
      <formula1>"UI,Funcional,Contenido,Rendimiento,Seguridad,Otro"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 DAILY ERRORES WEB</t>
        </is>
      </c>
    </row>
    <row r="3">
      <c r="A3" t="inlineStr">
        <is>
          <t>Pendientes</t>
        </is>
      </c>
      <c r="B3">
        <f>COUNTIF(Errores_Jira_Data!I:I,"Pendiente")</f>
        <v/>
      </c>
    </row>
    <row r="4">
      <c r="A4" t="inlineStr">
        <is>
          <t>En proceso</t>
        </is>
      </c>
      <c r="B4">
        <f>COUNTIF(Errores_Jira_Data!I:I,"En proceso")</f>
        <v/>
      </c>
    </row>
    <row r="5">
      <c r="A5" t="inlineStr">
        <is>
          <t>En revisión</t>
        </is>
      </c>
      <c r="B5">
        <f>COUNTIF(Errores_Jira_Data!I:I,"En revisión")</f>
        <v/>
      </c>
    </row>
    <row r="6">
      <c r="A6" t="inlineStr">
        <is>
          <t>Resueltos</t>
        </is>
      </c>
      <c r="B6">
        <f>COUNTIF(Errores_Jira_Data!I:I,"Resuelto")</f>
        <v/>
      </c>
    </row>
    <row r="8">
      <c r="A8" t="inlineStr">
        <is>
          <t>Errores críticos abiertos (&gt;7 días)</t>
        </is>
      </c>
      <c r="B8">
        <f>COUNTIFS(Errores_Jira_Data!J:J,"&gt;7",Errores_Jira_Data!I:I,"&lt;&gt;Resuelto")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Responsable</t>
        </is>
      </c>
      <c r="B1" t="inlineStr">
        <is>
          <t>Pendientes</t>
        </is>
      </c>
      <c r="C1" t="inlineStr">
        <is>
          <t>En proceso</t>
        </is>
      </c>
    </row>
    <row r="2">
      <c r="A2" t="inlineStr">
        <is>
          <t>Dev 1</t>
        </is>
      </c>
      <c r="B2">
        <f>COUNTIFS(Errores_Jira_Data!H:H,A2,Errores_Jira_Data!I:I,"Pendiente")</f>
        <v/>
      </c>
      <c r="C2">
        <f>COUNTIFS(Errores_Jira_Data!H:H,A2,Errores_Jira_Data!I:I,"En proceso")</f>
        <v/>
      </c>
    </row>
    <row r="3">
      <c r="A3" t="inlineStr">
        <is>
          <t>Dev 2</t>
        </is>
      </c>
      <c r="B3">
        <f>COUNTIFS(Errores_Jira_Data!H:H,A3,Errores_Jira_Data!I:I,"Pendiente")</f>
        <v/>
      </c>
      <c r="C3">
        <f>COUNTIFS(Errores_Jira_Data!H:H,A3,Errores_Jira_Data!I:I,"En proceso")</f>
        <v/>
      </c>
    </row>
    <row r="4">
      <c r="A4" t="inlineStr">
        <is>
          <t>QA</t>
        </is>
      </c>
      <c r="B4">
        <f>COUNTIFS(Errores_Jira_Data!H:H,A4,Errores_Jira_Data!I:I,"Pendiente")</f>
        <v/>
      </c>
      <c r="C4">
        <f>COUNTIFS(Errores_Jira_Data!H:H,A4,Errores_Jira_Data!I:I,"En proceso")</f>
        <v/>
      </c>
    </row>
    <row r="5">
      <c r="A5" t="inlineStr">
        <is>
          <t>UX</t>
        </is>
      </c>
      <c r="B5">
        <f>COUNTIFS(Errores_Jira_Data!H:H,A5,Errores_Jira_Data!I:I,"Pendiente")</f>
        <v/>
      </c>
      <c r="C5">
        <f>COUNTIFS(Errores_Jira_Data!H:H,A5,Errores_Jira_Data!I:I,"En proceso")</f>
        <v/>
      </c>
    </row>
    <row r="6">
      <c r="A6" t="inlineStr">
        <is>
          <t>Proveedor</t>
        </is>
      </c>
      <c r="B6">
        <f>COUNTIFS(Errores_Jira_Data!H:H,A6,Errores_Jira_Data!I:I,"Pendiente")</f>
        <v/>
      </c>
      <c r="C6">
        <f>COUNTIFS(Errores_Jira_Data!H:H,A6,Errores_Jira_Data!I:I,"En proceso")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2026-02-05T17:03:01Z</dcterms:created>
  <dcterms:modified xmlns:dcterms="http://purl.org/dc/terms/" xmlns:xsi="http://www.w3.org/2001/XMLSchema-instance" xsi:type="dcterms:W3CDTF">2026-02-05T17:03:01Z</dcterms:modified>
</cp:coreProperties>
</file>